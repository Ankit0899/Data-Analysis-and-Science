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Data-Analysis-and-Science\8. Excel\"/>
    </mc:Choice>
  </mc:AlternateContent>
  <xr:revisionPtr revIDLastSave="0" documentId="13_ncr:1_{0938873B-1B5C-48AB-8A08-536B0BC7366E}" xr6:coauthVersionLast="47" xr6:coauthVersionMax="47" xr10:uidLastSave="{00000000-0000-0000-0000-000000000000}"/>
  <bookViews>
    <workbookView xWindow="-108" yWindow="-108" windowWidth="23256" windowHeight="12456" firstSheet="2" activeTab="9" xr2:uid="{8FC27219-BA23-4032-9EAA-BB73189C749C}"/>
  </bookViews>
  <sheets>
    <sheet name="Auto" sheetId="1" r:id="rId1"/>
    <sheet name="Fun1" sheetId="2" r:id="rId2"/>
    <sheet name="Fun 2" sheetId="3" r:id="rId3"/>
    <sheet name="Fun 3" sheetId="4" r:id="rId4"/>
    <sheet name="Fun 4" sheetId="5" r:id="rId5"/>
    <sheet name="Fun 5" sheetId="6" r:id="rId6"/>
    <sheet name="Fun 6" sheetId="7" r:id="rId7"/>
    <sheet name="Fun 7" sheetId="8" r:id="rId8"/>
    <sheet name="Fun 8" sheetId="9" r:id="rId9"/>
    <sheet name="Fun 9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0" l="1"/>
  <c r="F5" i="10"/>
  <c r="F6" i="10"/>
  <c r="F7" i="10"/>
  <c r="F3" i="10"/>
  <c r="E4" i="10"/>
  <c r="E5" i="10"/>
  <c r="E6" i="10"/>
  <c r="E7" i="10"/>
  <c r="E3" i="10"/>
  <c r="F3" i="9"/>
  <c r="F4" i="9"/>
  <c r="F5" i="9"/>
  <c r="F6" i="9"/>
  <c r="F7" i="9"/>
  <c r="E3" i="9"/>
  <c r="E4" i="9"/>
  <c r="E5" i="9"/>
  <c r="E6" i="9"/>
  <c r="E7" i="9"/>
  <c r="C8" i="8"/>
  <c r="C7" i="8"/>
  <c r="E2" i="8"/>
  <c r="C6" i="8"/>
  <c r="C5" i="8"/>
  <c r="C4" i="8"/>
  <c r="C2" i="8"/>
  <c r="C3" i="8" s="1"/>
  <c r="C1" i="8"/>
  <c r="I14" i="7"/>
  <c r="I11" i="7"/>
  <c r="I8" i="7"/>
  <c r="I5" i="7"/>
  <c r="I2" i="7"/>
  <c r="H15" i="6"/>
  <c r="H11" i="6"/>
  <c r="H6" i="6"/>
  <c r="H7" i="6"/>
  <c r="I2" i="6"/>
  <c r="H2" i="6"/>
  <c r="F3" i="5"/>
  <c r="F4" i="5"/>
  <c r="F5" i="5"/>
  <c r="F6" i="5"/>
  <c r="F7" i="5"/>
  <c r="F8" i="5"/>
  <c r="F9" i="5"/>
  <c r="F10" i="5"/>
  <c r="F11" i="5"/>
  <c r="F2" i="5"/>
  <c r="J2" i="5"/>
  <c r="J1" i="5"/>
  <c r="L3" i="4"/>
  <c r="L4" i="4"/>
  <c r="L5" i="4"/>
  <c r="L6" i="4"/>
  <c r="L7" i="4"/>
  <c r="L8" i="4"/>
  <c r="L9" i="4"/>
  <c r="L10" i="4"/>
  <c r="L11" i="4"/>
  <c r="L2" i="4"/>
  <c r="K3" i="4"/>
  <c r="K4" i="4"/>
  <c r="K5" i="4"/>
  <c r="K6" i="4"/>
  <c r="K7" i="4"/>
  <c r="K8" i="4"/>
  <c r="K9" i="4"/>
  <c r="K10" i="4"/>
  <c r="K11" i="4"/>
  <c r="K2" i="4"/>
  <c r="J2" i="4"/>
  <c r="I2" i="4"/>
  <c r="H2" i="4"/>
  <c r="H3" i="4"/>
  <c r="H4" i="4"/>
  <c r="H5" i="4"/>
  <c r="H6" i="4"/>
  <c r="H7" i="4"/>
  <c r="H8" i="4"/>
  <c r="H9" i="4"/>
  <c r="H10" i="4"/>
  <c r="H11" i="4"/>
  <c r="G3" i="4"/>
  <c r="G4" i="4"/>
  <c r="G5" i="4"/>
  <c r="G6" i="4"/>
  <c r="G7" i="4"/>
  <c r="G8" i="4"/>
  <c r="G9" i="4"/>
  <c r="G10" i="4"/>
  <c r="G11" i="4"/>
  <c r="G2" i="4"/>
  <c r="F2" i="4"/>
  <c r="F3" i="4"/>
  <c r="F4" i="4"/>
  <c r="F5" i="4"/>
  <c r="F6" i="4"/>
  <c r="F7" i="4"/>
  <c r="F8" i="4"/>
  <c r="F9" i="4"/>
  <c r="F10" i="4"/>
  <c r="F11" i="4"/>
  <c r="N3" i="3"/>
  <c r="N4" i="3"/>
  <c r="N5" i="3"/>
  <c r="N6" i="3"/>
  <c r="N2" i="3"/>
  <c r="M3" i="3"/>
  <c r="M4" i="3"/>
  <c r="M5" i="3"/>
  <c r="M6" i="3"/>
  <c r="M2" i="3"/>
  <c r="L3" i="3"/>
  <c r="L4" i="3"/>
  <c r="L5" i="3"/>
  <c r="L6" i="3"/>
  <c r="L2" i="3"/>
  <c r="K3" i="3"/>
  <c r="K4" i="3"/>
  <c r="K5" i="3"/>
  <c r="K6" i="3"/>
  <c r="K2" i="3"/>
  <c r="J3" i="3"/>
  <c r="J4" i="3"/>
  <c r="J5" i="3"/>
  <c r="J6" i="3"/>
  <c r="J2" i="3"/>
  <c r="I3" i="3"/>
  <c r="I4" i="3"/>
  <c r="I5" i="3"/>
  <c r="I6" i="3"/>
  <c r="I2" i="3"/>
  <c r="H3" i="3"/>
  <c r="H4" i="3"/>
  <c r="H5" i="3"/>
  <c r="H6" i="3"/>
  <c r="H2" i="3"/>
  <c r="G3" i="3"/>
  <c r="G4" i="3"/>
  <c r="G5" i="3"/>
  <c r="G6" i="3"/>
  <c r="G2" i="3"/>
  <c r="F2" i="3"/>
  <c r="F3" i="3"/>
  <c r="F4" i="3"/>
  <c r="F5" i="3"/>
  <c r="F6" i="3"/>
  <c r="K3" i="2"/>
  <c r="K4" i="2"/>
  <c r="K5" i="2"/>
  <c r="K6" i="2"/>
  <c r="K7" i="2"/>
  <c r="K8" i="2"/>
  <c r="K9" i="2"/>
  <c r="K10" i="2"/>
  <c r="K11" i="2"/>
  <c r="K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F9" i="1"/>
  <c r="F8" i="1"/>
  <c r="F7" i="1"/>
  <c r="F6" i="1"/>
  <c r="D6" i="1"/>
  <c r="B6" i="1"/>
</calcChain>
</file>

<file path=xl/sharedStrings.xml><?xml version="1.0" encoding="utf-8"?>
<sst xmlns="http://schemas.openxmlformats.org/spreadsheetml/2006/main" count="340" uniqueCount="124">
  <si>
    <t xml:space="preserve">Employee ID </t>
  </si>
  <si>
    <t>Name</t>
  </si>
  <si>
    <t>Department</t>
  </si>
  <si>
    <t>Salary</t>
  </si>
  <si>
    <t>yearsof Experience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</si>
  <si>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</si>
  <si>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</si>
  <si>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</si>
  <si>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</si>
  <si>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</si>
  <si>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</si>
  <si>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</si>
  <si>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</si>
  <si>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Ivan</t>
  </si>
  <si>
    <t>Jack</t>
  </si>
  <si>
    <t>HR</t>
  </si>
  <si>
    <t>IT</t>
  </si>
  <si>
    <t>Finance</t>
  </si>
  <si>
    <t>UPPER</t>
  </si>
  <si>
    <t>LOWER</t>
  </si>
  <si>
    <t>POWER</t>
  </si>
  <si>
    <t>MID</t>
  </si>
  <si>
    <t>SQRT</t>
  </si>
  <si>
    <t>Lower case</t>
  </si>
  <si>
    <t>Upper Case</t>
  </si>
  <si>
    <t>SQRT Fun</t>
  </si>
  <si>
    <t>Power Fun</t>
  </si>
  <si>
    <t>Mid Fun</t>
  </si>
  <si>
    <t>Mid Fun 1</t>
  </si>
  <si>
    <t>First Name</t>
  </si>
  <si>
    <t>Last Name</t>
  </si>
  <si>
    <t>Phone Number</t>
  </si>
  <si>
    <t>123-456-7890</t>
  </si>
  <si>
    <t>987-654-3210</t>
  </si>
  <si>
    <t>456-789-0123</t>
  </si>
  <si>
    <t>321-654-0987</t>
  </si>
  <si>
    <t>789-012-3456</t>
  </si>
  <si>
    <t>Smith</t>
  </si>
  <si>
    <t>Johnson</t>
  </si>
  <si>
    <t>brown</t>
  </si>
  <si>
    <t>White</t>
  </si>
  <si>
    <t>Clark</t>
  </si>
  <si>
    <t>Subsitute</t>
  </si>
  <si>
    <t>left</t>
  </si>
  <si>
    <t>right</t>
  </si>
  <si>
    <t>trim</t>
  </si>
  <si>
    <t>concat</t>
  </si>
  <si>
    <t>len</t>
  </si>
  <si>
    <t>proper</t>
  </si>
  <si>
    <t xml:space="preserve">   HR</t>
  </si>
  <si>
    <t>Subsitute1</t>
  </si>
  <si>
    <t>Trim</t>
  </si>
  <si>
    <t>Left</t>
  </si>
  <si>
    <t>Right</t>
  </si>
  <si>
    <t>Length</t>
  </si>
  <si>
    <t>ConCat Fun</t>
  </si>
  <si>
    <t>Proper Fun</t>
  </si>
  <si>
    <t>Lower Fun</t>
  </si>
  <si>
    <t>last Name</t>
  </si>
  <si>
    <t>Taylor</t>
  </si>
  <si>
    <t>Evans</t>
  </si>
  <si>
    <t>Martin</t>
  </si>
  <si>
    <t>Lee</t>
  </si>
  <si>
    <t>Walker</t>
  </si>
  <si>
    <t>Sales</t>
  </si>
  <si>
    <t>target Achieved</t>
  </si>
  <si>
    <t>Yes</t>
  </si>
  <si>
    <t>No</t>
  </si>
  <si>
    <t>Countif</t>
  </si>
  <si>
    <t>If</t>
  </si>
  <si>
    <t>Nestedif</t>
  </si>
  <si>
    <t>Concat</t>
  </si>
  <si>
    <t>ConCat New</t>
  </si>
  <si>
    <t>Concat 2</t>
  </si>
  <si>
    <t>Count IF</t>
  </si>
  <si>
    <t>Count No</t>
  </si>
  <si>
    <t>IF Fun</t>
  </si>
  <si>
    <t>IF new Col</t>
  </si>
  <si>
    <t>Nested IF fun</t>
  </si>
  <si>
    <t>Date</t>
  </si>
  <si>
    <t>Product</t>
  </si>
  <si>
    <t>Salesperson</t>
  </si>
  <si>
    <t>Units Sold</t>
  </si>
  <si>
    <t>Revenue</t>
  </si>
  <si>
    <t>Widget A</t>
  </si>
  <si>
    <t>Widget B</t>
  </si>
  <si>
    <t>Carol</t>
  </si>
  <si>
    <t>Widget C</t>
  </si>
  <si>
    <r>
      <t>TODAY()</t>
    </r>
    <r>
      <rPr>
        <sz val="11"/>
        <color theme="1"/>
        <rFont val="Calibri"/>
        <family val="2"/>
        <scheme val="minor"/>
      </rPr>
      <t>: Returns the current date.</t>
    </r>
  </si>
  <si>
    <r>
      <t>DATE()</t>
    </r>
    <r>
      <rPr>
        <sz val="11"/>
        <color theme="1"/>
        <rFont val="Calibri"/>
        <family val="2"/>
        <scheme val="minor"/>
      </rPr>
      <t>: Creates a date from year, month, and day values.</t>
    </r>
  </si>
  <si>
    <r>
      <t>DAY()</t>
    </r>
    <r>
      <rPr>
        <sz val="11"/>
        <color theme="1"/>
        <rFont val="Calibri"/>
        <family val="2"/>
        <scheme val="minor"/>
      </rPr>
      <t>: Returns the day of the month from a date.</t>
    </r>
  </si>
  <si>
    <r>
      <t>MONTH()</t>
    </r>
    <r>
      <rPr>
        <sz val="11"/>
        <color theme="1"/>
        <rFont val="Calibri"/>
        <family val="2"/>
        <scheme val="minor"/>
      </rPr>
      <t>: Returns the month from a date.</t>
    </r>
  </si>
  <si>
    <r>
      <t>YEAR()</t>
    </r>
    <r>
      <rPr>
        <sz val="11"/>
        <color theme="1"/>
        <rFont val="Calibri"/>
        <family val="2"/>
        <scheme val="minor"/>
      </rPr>
      <t>: Returns the year from a date.</t>
    </r>
  </si>
  <si>
    <r>
      <t>WEEKDAY()</t>
    </r>
    <r>
      <rPr>
        <sz val="11"/>
        <color theme="1"/>
        <rFont val="Calibri"/>
        <family val="2"/>
        <scheme val="minor"/>
      </rPr>
      <t>: Returns the day of the week as a number.</t>
    </r>
  </si>
  <si>
    <r>
      <t>DAYS()</t>
    </r>
    <r>
      <rPr>
        <sz val="11"/>
        <color theme="1"/>
        <rFont val="Calibri"/>
        <family val="2"/>
        <scheme val="minor"/>
      </rPr>
      <t>: Returns the number of days between two dates.</t>
    </r>
  </si>
  <si>
    <r>
      <t>NOW()</t>
    </r>
    <r>
      <rPr>
        <sz val="11"/>
        <color theme="1"/>
        <rFont val="Calibri"/>
        <family val="2"/>
        <scheme val="minor"/>
      </rPr>
      <t>: Returns the current date and time.</t>
    </r>
  </si>
  <si>
    <t>Data 1</t>
  </si>
  <si>
    <t>Student ID</t>
  </si>
  <si>
    <t>Age</t>
  </si>
  <si>
    <t>Grade</t>
  </si>
  <si>
    <t>S001</t>
  </si>
  <si>
    <t>S002</t>
  </si>
  <si>
    <t>S003</t>
  </si>
  <si>
    <t>S004</t>
  </si>
  <si>
    <t>S005</t>
  </si>
  <si>
    <t>Data 2</t>
  </si>
  <si>
    <t>Course</t>
  </si>
  <si>
    <t>Introduction to Data Science and Machine Learning</t>
  </si>
  <si>
    <t>Full-Stack Web Development Bootcamp</t>
  </si>
  <si>
    <t>Cybersecurity Essentials: Protecting Digital Assets</t>
  </si>
  <si>
    <t>Advanced Excel and Data Analysis</t>
  </si>
  <si>
    <t>Cloud Computing with AWS and Azure</t>
  </si>
  <si>
    <t>Sum if funtion(Widget A)</t>
  </si>
  <si>
    <t>Avg if function (widget B)</t>
  </si>
  <si>
    <t>CountIf</t>
  </si>
  <si>
    <t>Min IF</t>
  </si>
  <si>
    <t>max If</t>
  </si>
  <si>
    <t>Count IFS</t>
  </si>
  <si>
    <t>SUM IFS</t>
  </si>
  <si>
    <t>Avg IFS</t>
  </si>
  <si>
    <t>MIN IFS</t>
  </si>
  <si>
    <t>Max IFS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</si>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</sst>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168" fontId="0" fillId="2" borderId="0" xfId="0" applyNumberFormat="1" applyFill="1" applyAlignment="1">
      <alignment vertical="center" wrapText="1"/>
    </xf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0" fontId="0" fillId="0" borderId="0" xfId="0"/>
    <xf numFmtId="0" fontId="1" fillId="3" borderId="0" xfId="0" applyFont="1" applyFill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/>
    <xf numFmtId="0" fontId="1" fillId="3" borderId="0" xfId="0" applyFont="1" applyFill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14" fontId="0" fillId="2" borderId="0" xfId="0" applyNumberForma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168" fontId="0" fillId="2" borderId="0" xfId="0" applyNumberForma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3C1C53D-0DC6-4C5D-9E37-0BEBF05966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1AB2-8F4B-4B56-A2C2-C911A69533B5}">
  <dimension ref="B2:F9"/>
  <sheetViews>
    <sheetView workbookViewId="0">
      <selection activeCell="F10" sqref="F10"/>
    </sheetView>
  </sheetViews>
  <sheetFormatPr defaultRowHeight="14.4" x14ac:dyDescent="0.3"/>
  <sheetData>
    <row r="2" spans="2:6" x14ac:dyDescent="0.3">
      <c r="B2">
        <v>4</v>
      </c>
      <c r="D2">
        <v>4</v>
      </c>
      <c r="F2">
        <v>4</v>
      </c>
    </row>
    <row r="3" spans="2:6" x14ac:dyDescent="0.3">
      <c r="B3">
        <v>35</v>
      </c>
      <c r="D3">
        <v>35</v>
      </c>
      <c r="F3">
        <v>35</v>
      </c>
    </row>
    <row r="4" spans="2:6" x14ac:dyDescent="0.3">
      <c r="B4">
        <v>65</v>
      </c>
      <c r="D4">
        <v>65</v>
      </c>
      <c r="F4">
        <v>65</v>
      </c>
    </row>
    <row r="5" spans="2:6" x14ac:dyDescent="0.3">
      <c r="B5">
        <v>87</v>
      </c>
      <c r="D5">
        <v>87</v>
      </c>
      <c r="F5">
        <v>87</v>
      </c>
    </row>
    <row r="6" spans="2:6" x14ac:dyDescent="0.3">
      <c r="B6">
        <f>SUM(B2:B5)</f>
        <v>191</v>
      </c>
      <c r="D6">
        <f>AVERAGE(D2:D5)</f>
        <v>47.75</v>
      </c>
      <c r="F6">
        <f>COUNT(F2:F5)</f>
        <v>4</v>
      </c>
    </row>
    <row r="7" spans="2:6" x14ac:dyDescent="0.3">
      <c r="F7">
        <f>MAX(F2:F6)</f>
        <v>87</v>
      </c>
    </row>
    <row r="8" spans="2:6" x14ac:dyDescent="0.3">
      <c r="F8">
        <f>MIN(F2:F7)</f>
        <v>4</v>
      </c>
    </row>
    <row r="9" spans="2:6" x14ac:dyDescent="0.3">
      <c r="F9">
        <f>MIN(F2:F8)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9F1-B51C-491F-AB2F-B3211C2DFF8C}">
  <dimension ref="A1:K19"/>
  <sheetViews>
    <sheetView workbookViewId="0">
      <selection activeCell="C1" sqref="C1:C11"/>
    </sheetView>
  </sheetViews>
  <sheetFormatPr defaultRowHeight="14.4" x14ac:dyDescent="0.3"/>
  <cols>
    <col min="1" max="1" width="14.21875" customWidth="1"/>
    <col min="2" max="2" width="13.88671875" customWidth="1"/>
    <col min="3" max="3" width="16.77734375" customWidth="1"/>
    <col min="4" max="4" width="15.33203125" customWidth="1"/>
    <col min="5" max="5" width="18.21875" customWidth="1"/>
    <col min="6" max="6" width="18" customWidth="1"/>
    <col min="7" max="7" width="12.5546875" customWidth="1"/>
    <col min="8" max="8" width="16" customWidth="1"/>
    <col min="9" max="9" width="16.6640625" customWidth="1"/>
    <col min="10" max="10" width="17.21875" customWidth="1"/>
    <col min="11" max="11" width="18.55468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23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x14ac:dyDescent="0.3">
      <c r="A2">
        <v>101</v>
      </c>
      <c r="B2" t="s">
        <v>5</v>
      </c>
      <c r="C2" t="s">
        <v>15</v>
      </c>
      <c r="D2">
        <v>50000</v>
      </c>
      <c r="E2">
        <v>5</v>
      </c>
      <c r="F2" t="str">
        <f>UPPER(B2)</f>
        <v>ALICE</v>
      </c>
      <c r="G2" t="str">
        <f>LOWER(B2)</f>
        <v>alice</v>
      </c>
      <c r="H2">
        <f>SQRT(E2)</f>
        <v>2.2360679774997898</v>
      </c>
      <c r="I2">
        <f>POWER(E2,3)</f>
        <v>125</v>
      </c>
      <c r="J2" t="str">
        <f>MID(F2,1,3)</f>
        <v>ALI</v>
      </c>
      <c r="K2" t="str">
        <f>MID(H2,1,3)</f>
        <v>2.2</v>
      </c>
    </row>
    <row r="3" spans="1:11" x14ac:dyDescent="0.3">
      <c r="A3">
        <v>102</v>
      </c>
      <c r="B3" t="s">
        <v>6</v>
      </c>
      <c r="C3" t="s">
        <v>16</v>
      </c>
      <c r="D3">
        <v>60000</v>
      </c>
      <c r="E3">
        <v>3</v>
      </c>
      <c r="F3" t="str">
        <f t="shared" ref="F3:F11" si="0">UPPER(B3)</f>
        <v>BOB</v>
      </c>
      <c r="G3" t="str">
        <f t="shared" ref="G3:G11" si="1">LOWER(B3)</f>
        <v>bob</v>
      </c>
      <c r="H3">
        <f t="shared" ref="H3:H11" si="2">SQRT(E3)</f>
        <v>1.7320508075688772</v>
      </c>
      <c r="I3">
        <f t="shared" ref="I3:I11" si="3">POWER(E3,3)</f>
        <v>27</v>
      </c>
      <c r="J3" t="str">
        <f t="shared" ref="J3:J11" si="4">MID(F3,1,3)</f>
        <v>BOB</v>
      </c>
      <c r="K3" t="str">
        <f t="shared" ref="K3:K11" si="5">MID(H3,1,3)</f>
        <v>1.7</v>
      </c>
    </row>
    <row r="4" spans="1:11" x14ac:dyDescent="0.3">
      <c r="A4">
        <v>103</v>
      </c>
      <c r="B4" t="s">
        <v>7</v>
      </c>
      <c r="C4" t="s">
        <v>17</v>
      </c>
      <c r="D4">
        <v>55000</v>
      </c>
      <c r="E4">
        <v>4</v>
      </c>
      <c r="F4" t="str">
        <f t="shared" si="0"/>
        <v>CHARLIE</v>
      </c>
      <c r="G4" t="str">
        <f t="shared" si="1"/>
        <v>charlie</v>
      </c>
      <c r="H4">
        <f t="shared" si="2"/>
        <v>2</v>
      </c>
      <c r="I4">
        <f t="shared" si="3"/>
        <v>64</v>
      </c>
      <c r="J4" t="str">
        <f t="shared" si="4"/>
        <v>CHA</v>
      </c>
      <c r="K4" t="str">
        <f t="shared" si="5"/>
        <v>2</v>
      </c>
    </row>
    <row r="5" spans="1:11" x14ac:dyDescent="0.3">
      <c r="A5">
        <v>104</v>
      </c>
      <c r="B5" t="s">
        <v>8</v>
      </c>
      <c r="C5" t="s">
        <v>16</v>
      </c>
      <c r="D5">
        <v>70000</v>
      </c>
      <c r="E5">
        <v>6</v>
      </c>
      <c r="F5" t="str">
        <f t="shared" si="0"/>
        <v>DAVID</v>
      </c>
      <c r="G5" t="str">
        <f t="shared" si="1"/>
        <v>david</v>
      </c>
      <c r="H5">
        <f t="shared" si="2"/>
        <v>2.4494897427831779</v>
      </c>
      <c r="I5">
        <f t="shared" si="3"/>
        <v>216</v>
      </c>
      <c r="J5" t="str">
        <f t="shared" si="4"/>
        <v>DAV</v>
      </c>
      <c r="K5" t="str">
        <f t="shared" si="5"/>
        <v>2.4</v>
      </c>
    </row>
    <row r="6" spans="1:11" x14ac:dyDescent="0.3">
      <c r="A6">
        <v>105</v>
      </c>
      <c r="B6" t="s">
        <v>9</v>
      </c>
      <c r="C6" t="s">
        <v>15</v>
      </c>
      <c r="D6">
        <v>52000</v>
      </c>
      <c r="E6">
        <v>2</v>
      </c>
      <c r="F6" t="str">
        <f t="shared" si="0"/>
        <v>EVA</v>
      </c>
      <c r="G6" t="str">
        <f t="shared" si="1"/>
        <v>eva</v>
      </c>
      <c r="H6">
        <f t="shared" si="2"/>
        <v>1.4142135623730951</v>
      </c>
      <c r="I6">
        <f t="shared" si="3"/>
        <v>8</v>
      </c>
      <c r="J6" t="str">
        <f t="shared" si="4"/>
        <v>EVA</v>
      </c>
      <c r="K6" t="str">
        <f t="shared" si="5"/>
        <v>1.4</v>
      </c>
    </row>
    <row r="7" spans="1:11" x14ac:dyDescent="0.3">
      <c r="A7">
        <v>106</v>
      </c>
      <c r="B7" t="s">
        <v>10</v>
      </c>
      <c r="C7" t="s">
        <v>17</v>
      </c>
      <c r="D7">
        <v>58000</v>
      </c>
      <c r="E7">
        <v>5</v>
      </c>
      <c r="F7" t="str">
        <f t="shared" si="0"/>
        <v>FRANK</v>
      </c>
      <c r="G7" t="str">
        <f t="shared" si="1"/>
        <v>frank</v>
      </c>
      <c r="H7">
        <f t="shared" si="2"/>
        <v>2.2360679774997898</v>
      </c>
      <c r="I7">
        <f t="shared" si="3"/>
        <v>125</v>
      </c>
      <c r="J7" t="str">
        <f t="shared" si="4"/>
        <v>FRA</v>
      </c>
      <c r="K7" t="str">
        <f t="shared" si="5"/>
        <v>2.2</v>
      </c>
    </row>
    <row r="8" spans="1:11" x14ac:dyDescent="0.3">
      <c r="A8">
        <v>107</v>
      </c>
      <c r="B8" t="s">
        <v>11</v>
      </c>
      <c r="C8" t="s">
        <v>16</v>
      </c>
      <c r="D8">
        <v>62000</v>
      </c>
      <c r="E8">
        <v>4</v>
      </c>
      <c r="F8" t="str">
        <f t="shared" si="0"/>
        <v>GRACE</v>
      </c>
      <c r="G8" t="str">
        <f t="shared" si="1"/>
        <v>grace</v>
      </c>
      <c r="H8">
        <f t="shared" si="2"/>
        <v>2</v>
      </c>
      <c r="I8">
        <f t="shared" si="3"/>
        <v>64</v>
      </c>
      <c r="J8" t="str">
        <f t="shared" si="4"/>
        <v>GRA</v>
      </c>
      <c r="K8" t="str">
        <f t="shared" si="5"/>
        <v>2</v>
      </c>
    </row>
    <row r="9" spans="1:11" x14ac:dyDescent="0.3">
      <c r="A9">
        <v>108</v>
      </c>
      <c r="B9" t="s">
        <v>12</v>
      </c>
      <c r="C9" t="s">
        <v>15</v>
      </c>
      <c r="D9">
        <v>53000</v>
      </c>
      <c r="E9">
        <v>3</v>
      </c>
      <c r="F9" t="str">
        <f t="shared" si="0"/>
        <v>HANNAH</v>
      </c>
      <c r="G9" t="str">
        <f t="shared" si="1"/>
        <v>hannah</v>
      </c>
      <c r="H9">
        <f t="shared" si="2"/>
        <v>1.7320508075688772</v>
      </c>
      <c r="I9">
        <f t="shared" si="3"/>
        <v>27</v>
      </c>
      <c r="J9" t="str">
        <f t="shared" si="4"/>
        <v>HAN</v>
      </c>
      <c r="K9" t="str">
        <f t="shared" si="5"/>
        <v>1.7</v>
      </c>
    </row>
    <row r="10" spans="1:11" x14ac:dyDescent="0.3">
      <c r="A10">
        <v>109</v>
      </c>
      <c r="B10" t="s">
        <v>13</v>
      </c>
      <c r="C10" t="s">
        <v>17</v>
      </c>
      <c r="D10">
        <v>59000</v>
      </c>
      <c r="E10">
        <v>7</v>
      </c>
      <c r="F10" t="str">
        <f t="shared" si="0"/>
        <v>IVAN</v>
      </c>
      <c r="G10" t="str">
        <f t="shared" si="1"/>
        <v>ivan</v>
      </c>
      <c r="H10">
        <f t="shared" si="2"/>
        <v>2.6457513110645907</v>
      </c>
      <c r="I10">
        <f t="shared" si="3"/>
        <v>343</v>
      </c>
      <c r="J10" t="str">
        <f t="shared" si="4"/>
        <v>IVA</v>
      </c>
      <c r="K10" t="str">
        <f t="shared" si="5"/>
        <v>2.6</v>
      </c>
    </row>
    <row r="11" spans="1:11" x14ac:dyDescent="0.3">
      <c r="A11">
        <v>110</v>
      </c>
      <c r="B11" t="s">
        <v>14</v>
      </c>
      <c r="C11" t="s">
        <v>16</v>
      </c>
      <c r="D11">
        <v>65000</v>
      </c>
      <c r="E11">
        <v>4</v>
      </c>
      <c r="F11" t="str">
        <f t="shared" si="0"/>
        <v>JACK</v>
      </c>
      <c r="G11" t="str">
        <f t="shared" si="1"/>
        <v>jack</v>
      </c>
      <c r="H11">
        <f t="shared" si="2"/>
        <v>2</v>
      </c>
      <c r="I11">
        <f t="shared" si="3"/>
        <v>64</v>
      </c>
      <c r="J11" t="str">
        <f t="shared" si="4"/>
        <v>JAC</v>
      </c>
      <c r="K11" t="str">
        <f t="shared" si="5"/>
        <v>2</v>
      </c>
    </row>
    <row r="15" spans="1:11" x14ac:dyDescent="0.3">
      <c r="A15" t="s">
        <v>18</v>
      </c>
    </row>
    <row r="16" spans="1:11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861B-5FAB-41DC-A4A1-C3F8765E2283}">
  <dimension ref="A1:N18"/>
  <sheetViews>
    <sheetView workbookViewId="0">
      <selection activeCell="C2" sqref="C2:C6"/>
    </sheetView>
  </sheetViews>
  <sheetFormatPr defaultRowHeight="14.4" x14ac:dyDescent="0.3"/>
  <cols>
    <col min="1" max="1" width="12.6640625" customWidth="1"/>
    <col min="2" max="2" width="10.21875" customWidth="1"/>
    <col min="3" max="3" width="11.109375" customWidth="1"/>
    <col min="4" max="4" width="11.88671875" customWidth="1"/>
    <col min="5" max="5" width="15" customWidth="1"/>
    <col min="6" max="6" width="14.6640625" customWidth="1"/>
    <col min="7" max="7" width="19.5546875" customWidth="1"/>
    <col min="9" max="9" width="16.77734375" customWidth="1"/>
    <col min="11" max="11" width="13" customWidth="1"/>
    <col min="12" max="12" width="17.77734375" customWidth="1"/>
    <col min="13" max="13" width="12.21875" customWidth="1"/>
    <col min="14" max="14" width="15.6640625" customWidth="1"/>
  </cols>
  <sheetData>
    <row r="1" spans="1:14" x14ac:dyDescent="0.3">
      <c r="A1" s="1" t="s">
        <v>0</v>
      </c>
      <c r="B1" s="1" t="s">
        <v>29</v>
      </c>
      <c r="C1" s="1" t="s">
        <v>30</v>
      </c>
      <c r="D1" s="1" t="s">
        <v>2</v>
      </c>
      <c r="E1" s="1" t="s">
        <v>31</v>
      </c>
      <c r="F1" s="1" t="s">
        <v>42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57</v>
      </c>
      <c r="N1" s="1" t="s">
        <v>56</v>
      </c>
    </row>
    <row r="2" spans="1:14" x14ac:dyDescent="0.3">
      <c r="A2">
        <v>101</v>
      </c>
      <c r="B2" t="s">
        <v>5</v>
      </c>
      <c r="C2" t="s">
        <v>37</v>
      </c>
      <c r="D2" t="s">
        <v>49</v>
      </c>
      <c r="E2" t="s">
        <v>32</v>
      </c>
      <c r="F2" t="str">
        <f>SUBSTITUTE(D2," ","x")</f>
        <v>xxxHR</v>
      </c>
      <c r="G2" t="str">
        <f>SUBSTITUTE(D2," ","x",1)</f>
        <v>x  HR</v>
      </c>
      <c r="H2" t="str">
        <f>TRIM(D2)</f>
        <v>HR</v>
      </c>
      <c r="I2" t="str">
        <f>LEFT(TRIM(C2),2)</f>
        <v>Sm</v>
      </c>
      <c r="J2" t="str">
        <f>RIGHT(TRIM(C2),3)</f>
        <v>ith</v>
      </c>
      <c r="K2">
        <f>LEN(D2)</f>
        <v>5</v>
      </c>
      <c r="L2" t="str">
        <f>_xlfn.CONCAT(B2,C2)</f>
        <v>AliceSmith</v>
      </c>
      <c r="M2" t="str">
        <f>LOWER(TRIM(B2))</f>
        <v>alice</v>
      </c>
      <c r="N2" t="str">
        <f>PROPER(M2)</f>
        <v>Alice</v>
      </c>
    </row>
    <row r="3" spans="1:14" x14ac:dyDescent="0.3">
      <c r="A3">
        <v>102</v>
      </c>
      <c r="B3" t="s">
        <v>6</v>
      </c>
      <c r="C3" t="s">
        <v>38</v>
      </c>
      <c r="D3" t="s">
        <v>16</v>
      </c>
      <c r="E3" t="s">
        <v>33</v>
      </c>
      <c r="F3" t="str">
        <f t="shared" ref="F3:F6" si="0">SUBSTITUTE(D3," ","x")</f>
        <v>IT</v>
      </c>
      <c r="G3" t="str">
        <f t="shared" ref="G3:G6" si="1">SUBSTITUTE(D3," ","x",1)</f>
        <v>IT</v>
      </c>
      <c r="H3" t="str">
        <f t="shared" ref="H3:H6" si="2">TRIM(D3)</f>
        <v>IT</v>
      </c>
      <c r="I3" t="str">
        <f t="shared" ref="I3:I6" si="3">LEFT(TRIM(C3),2)</f>
        <v>Jo</v>
      </c>
      <c r="J3" t="str">
        <f t="shared" ref="J3:J6" si="4">RIGHT(TRIM(C3),3)</f>
        <v>son</v>
      </c>
      <c r="K3">
        <f t="shared" ref="K3:K6" si="5">LEN(D3)</f>
        <v>2</v>
      </c>
      <c r="L3" t="str">
        <f t="shared" ref="L3:L6" si="6">_xlfn.CONCAT(B3,C3)</f>
        <v>BobJohnson</v>
      </c>
      <c r="M3" t="str">
        <f t="shared" ref="M3:M6" si="7">LOWER(TRIM(B3))</f>
        <v>bob</v>
      </c>
      <c r="N3" t="str">
        <f t="shared" ref="N3:N6" si="8">PROPER(M3)</f>
        <v>Bob</v>
      </c>
    </row>
    <row r="4" spans="1:14" x14ac:dyDescent="0.3">
      <c r="A4">
        <v>103</v>
      </c>
      <c r="B4" t="s">
        <v>7</v>
      </c>
      <c r="C4" t="s">
        <v>39</v>
      </c>
      <c r="D4" t="s">
        <v>17</v>
      </c>
      <c r="E4" t="s">
        <v>34</v>
      </c>
      <c r="F4" t="str">
        <f t="shared" si="0"/>
        <v>Finance</v>
      </c>
      <c r="G4" t="str">
        <f t="shared" si="1"/>
        <v>Finance</v>
      </c>
      <c r="H4" t="str">
        <f t="shared" si="2"/>
        <v>Finance</v>
      </c>
      <c r="I4" t="str">
        <f t="shared" si="3"/>
        <v>br</v>
      </c>
      <c r="J4" t="str">
        <f t="shared" si="4"/>
        <v>own</v>
      </c>
      <c r="K4">
        <f t="shared" si="5"/>
        <v>7</v>
      </c>
      <c r="L4" t="str">
        <f t="shared" si="6"/>
        <v>Charliebrown</v>
      </c>
      <c r="M4" t="str">
        <f t="shared" si="7"/>
        <v>charlie</v>
      </c>
      <c r="N4" t="str">
        <f t="shared" si="8"/>
        <v>Charlie</v>
      </c>
    </row>
    <row r="5" spans="1:14" x14ac:dyDescent="0.3">
      <c r="A5">
        <v>104</v>
      </c>
      <c r="B5" t="s">
        <v>8</v>
      </c>
      <c r="C5" t="s">
        <v>40</v>
      </c>
      <c r="D5" t="s">
        <v>16</v>
      </c>
      <c r="E5" t="s">
        <v>35</v>
      </c>
      <c r="F5" t="str">
        <f t="shared" si="0"/>
        <v>IT</v>
      </c>
      <c r="G5" t="str">
        <f t="shared" si="1"/>
        <v>IT</v>
      </c>
      <c r="H5" t="str">
        <f t="shared" si="2"/>
        <v>IT</v>
      </c>
      <c r="I5" t="str">
        <f t="shared" si="3"/>
        <v>Wh</v>
      </c>
      <c r="J5" t="str">
        <f t="shared" si="4"/>
        <v>ite</v>
      </c>
      <c r="K5">
        <f t="shared" si="5"/>
        <v>2</v>
      </c>
      <c r="L5" t="str">
        <f t="shared" si="6"/>
        <v>DavidWhite</v>
      </c>
      <c r="M5" t="str">
        <f t="shared" si="7"/>
        <v>david</v>
      </c>
      <c r="N5" t="str">
        <f t="shared" si="8"/>
        <v>David</v>
      </c>
    </row>
    <row r="6" spans="1:14" x14ac:dyDescent="0.3">
      <c r="A6">
        <v>105</v>
      </c>
      <c r="B6" t="s">
        <v>9</v>
      </c>
      <c r="C6" t="s">
        <v>41</v>
      </c>
      <c r="D6" t="s">
        <v>15</v>
      </c>
      <c r="E6" t="s">
        <v>36</v>
      </c>
      <c r="F6" t="str">
        <f t="shared" si="0"/>
        <v>HR</v>
      </c>
      <c r="G6" t="str">
        <f t="shared" si="1"/>
        <v>HR</v>
      </c>
      <c r="H6" t="str">
        <f t="shared" si="2"/>
        <v>HR</v>
      </c>
      <c r="I6" t="str">
        <f t="shared" si="3"/>
        <v>Cl</v>
      </c>
      <c r="J6" t="str">
        <f t="shared" si="4"/>
        <v>ark</v>
      </c>
      <c r="K6">
        <f t="shared" si="5"/>
        <v>2</v>
      </c>
      <c r="L6" t="str">
        <f t="shared" si="6"/>
        <v>EvaClark</v>
      </c>
      <c r="M6" t="str">
        <f t="shared" si="7"/>
        <v>eva</v>
      </c>
      <c r="N6" t="str">
        <f t="shared" si="8"/>
        <v>Eva</v>
      </c>
    </row>
    <row r="12" spans="1:14" x14ac:dyDescent="0.3">
      <c r="A12" s="1" t="s">
        <v>42</v>
      </c>
    </row>
    <row r="13" spans="1:14" x14ac:dyDescent="0.3">
      <c r="A13" s="1" t="s">
        <v>43</v>
      </c>
    </row>
    <row r="14" spans="1:14" x14ac:dyDescent="0.3">
      <c r="A14" s="1" t="s">
        <v>44</v>
      </c>
    </row>
    <row r="15" spans="1:14" x14ac:dyDescent="0.3">
      <c r="A15" s="1" t="s">
        <v>45</v>
      </c>
    </row>
    <row r="16" spans="1:14" x14ac:dyDescent="0.3">
      <c r="A16" s="1" t="s">
        <v>46</v>
      </c>
    </row>
    <row r="17" spans="1:1" x14ac:dyDescent="0.3">
      <c r="A17" s="1" t="s">
        <v>47</v>
      </c>
    </row>
    <row r="18" spans="1:1" x14ac:dyDescent="0.3">
      <c r="A18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8151-6E1A-4F23-B511-6A53615D4875}">
  <dimension ref="A1:L17"/>
  <sheetViews>
    <sheetView workbookViewId="0">
      <selection sqref="A1:E11"/>
    </sheetView>
  </sheetViews>
  <sheetFormatPr defaultRowHeight="14.4" x14ac:dyDescent="0.3"/>
  <cols>
    <col min="1" max="1" width="13.44140625" customWidth="1"/>
    <col min="2" max="2" width="16.109375" customWidth="1"/>
    <col min="3" max="3" width="16.6640625" customWidth="1"/>
    <col min="4" max="4" width="15.88671875" customWidth="1"/>
    <col min="5" max="5" width="19.21875" customWidth="1"/>
    <col min="6" max="6" width="15.21875" customWidth="1"/>
    <col min="7" max="7" width="18.88671875" customWidth="1"/>
    <col min="8" max="8" width="17" customWidth="1"/>
    <col min="9" max="9" width="11.109375" customWidth="1"/>
    <col min="11" max="11" width="7.77734375" customWidth="1"/>
    <col min="12" max="12" width="25" customWidth="1"/>
  </cols>
  <sheetData>
    <row r="1" spans="1:12" x14ac:dyDescent="0.3">
      <c r="A1" s="1" t="s">
        <v>29</v>
      </c>
      <c r="B1" s="1" t="s">
        <v>58</v>
      </c>
      <c r="C1" s="1" t="s">
        <v>2</v>
      </c>
      <c r="D1" s="1" t="s">
        <v>64</v>
      </c>
      <c r="E1" s="1" t="s">
        <v>65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</row>
    <row r="2" spans="1:12" x14ac:dyDescent="0.3">
      <c r="A2" t="s">
        <v>5</v>
      </c>
      <c r="B2" t="s">
        <v>37</v>
      </c>
      <c r="C2" t="s">
        <v>15</v>
      </c>
      <c r="D2">
        <v>150</v>
      </c>
      <c r="E2" t="s">
        <v>66</v>
      </c>
      <c r="F2" t="str">
        <f>_xlfn.CONCAT(D2,E2)</f>
        <v>150Yes</v>
      </c>
      <c r="G2" t="str">
        <f>_xlfn.CONCAT(D2," ",E2)</f>
        <v>150 Yes</v>
      </c>
      <c r="H2" t="str">
        <f>_xlfn.CONCAT(D2,"-",E2)</f>
        <v>150-Yes</v>
      </c>
      <c r="I2">
        <f>COUNTIF(E2:E11,"yes")</f>
        <v>6</v>
      </c>
      <c r="J2">
        <f>COUNTIF(E2:E11,"no")</f>
        <v>4</v>
      </c>
      <c r="K2">
        <f>IF(E2="Yes",1,0)</f>
        <v>1</v>
      </c>
      <c r="L2">
        <f>IF(E2="Yes",IF(C2="HR",5,1),0)</f>
        <v>5</v>
      </c>
    </row>
    <row r="3" spans="1:12" x14ac:dyDescent="0.3">
      <c r="A3" t="s">
        <v>6</v>
      </c>
      <c r="B3" t="s">
        <v>38</v>
      </c>
      <c r="C3" t="s">
        <v>16</v>
      </c>
      <c r="D3">
        <v>200</v>
      </c>
      <c r="E3" t="s">
        <v>67</v>
      </c>
      <c r="F3" t="str">
        <f t="shared" ref="F3:F11" si="0">_xlfn.CONCAT(D3,E3)</f>
        <v>200No</v>
      </c>
      <c r="G3" t="str">
        <f t="shared" ref="G3:G11" si="1">_xlfn.CONCAT(D3," ",E3)</f>
        <v>200 No</v>
      </c>
      <c r="H3" t="str">
        <f t="shared" ref="H3:H11" si="2">_xlfn.CONCAT(D3,"-",E3)</f>
        <v>200-No</v>
      </c>
      <c r="K3">
        <f t="shared" ref="K3:K11" si="3">IF(E3="Yes",1,0)</f>
        <v>0</v>
      </c>
      <c r="L3">
        <f t="shared" ref="L3:L11" si="4">IF(E3="Yes",IF(C3="HR",5,1),0)</f>
        <v>0</v>
      </c>
    </row>
    <row r="4" spans="1:12" x14ac:dyDescent="0.3">
      <c r="A4" t="s">
        <v>7</v>
      </c>
      <c r="B4" t="s">
        <v>39</v>
      </c>
      <c r="C4" t="s">
        <v>17</v>
      </c>
      <c r="D4">
        <v>180</v>
      </c>
      <c r="E4" t="s">
        <v>66</v>
      </c>
      <c r="F4" t="str">
        <f t="shared" si="0"/>
        <v>180Yes</v>
      </c>
      <c r="G4" t="str">
        <f t="shared" si="1"/>
        <v>180 Yes</v>
      </c>
      <c r="H4" t="str">
        <f t="shared" si="2"/>
        <v>180-Yes</v>
      </c>
      <c r="K4">
        <f t="shared" si="3"/>
        <v>1</v>
      </c>
      <c r="L4">
        <f t="shared" si="4"/>
        <v>1</v>
      </c>
    </row>
    <row r="5" spans="1:12" x14ac:dyDescent="0.3">
      <c r="A5" t="s">
        <v>8</v>
      </c>
      <c r="B5" t="s">
        <v>40</v>
      </c>
      <c r="C5" t="s">
        <v>16</v>
      </c>
      <c r="D5">
        <v>220</v>
      </c>
      <c r="E5" t="s">
        <v>66</v>
      </c>
      <c r="F5" t="str">
        <f t="shared" si="0"/>
        <v>220Yes</v>
      </c>
      <c r="G5" t="str">
        <f t="shared" si="1"/>
        <v>220 Yes</v>
      </c>
      <c r="H5" t="str">
        <f t="shared" si="2"/>
        <v>220-Yes</v>
      </c>
      <c r="K5">
        <f t="shared" si="3"/>
        <v>1</v>
      </c>
      <c r="L5">
        <f t="shared" si="4"/>
        <v>1</v>
      </c>
    </row>
    <row r="6" spans="1:12" x14ac:dyDescent="0.3">
      <c r="A6" t="s">
        <v>9</v>
      </c>
      <c r="B6" t="s">
        <v>41</v>
      </c>
      <c r="C6" t="s">
        <v>15</v>
      </c>
      <c r="D6">
        <v>170</v>
      </c>
      <c r="E6" t="s">
        <v>67</v>
      </c>
      <c r="F6" t="str">
        <f t="shared" si="0"/>
        <v>170No</v>
      </c>
      <c r="G6" t="str">
        <f t="shared" si="1"/>
        <v>170 No</v>
      </c>
      <c r="H6" t="str">
        <f t="shared" si="2"/>
        <v>170-No</v>
      </c>
      <c r="K6">
        <f t="shared" si="3"/>
        <v>0</v>
      </c>
      <c r="L6">
        <f t="shared" si="4"/>
        <v>0</v>
      </c>
    </row>
    <row r="7" spans="1:12" x14ac:dyDescent="0.3">
      <c r="A7" t="s">
        <v>10</v>
      </c>
      <c r="B7" t="s">
        <v>59</v>
      </c>
      <c r="C7" t="s">
        <v>17</v>
      </c>
      <c r="D7">
        <v>210</v>
      </c>
      <c r="E7" t="s">
        <v>66</v>
      </c>
      <c r="F7" t="str">
        <f t="shared" si="0"/>
        <v>210Yes</v>
      </c>
      <c r="G7" t="str">
        <f t="shared" si="1"/>
        <v>210 Yes</v>
      </c>
      <c r="H7" t="str">
        <f t="shared" si="2"/>
        <v>210-Yes</v>
      </c>
      <c r="K7">
        <f t="shared" si="3"/>
        <v>1</v>
      </c>
      <c r="L7">
        <f t="shared" si="4"/>
        <v>1</v>
      </c>
    </row>
    <row r="8" spans="1:12" x14ac:dyDescent="0.3">
      <c r="A8" t="s">
        <v>11</v>
      </c>
      <c r="B8" t="s">
        <v>60</v>
      </c>
      <c r="C8" t="s">
        <v>16</v>
      </c>
      <c r="D8">
        <v>230</v>
      </c>
      <c r="E8" t="s">
        <v>66</v>
      </c>
      <c r="F8" t="str">
        <f t="shared" si="0"/>
        <v>230Yes</v>
      </c>
      <c r="G8" t="str">
        <f t="shared" si="1"/>
        <v>230 Yes</v>
      </c>
      <c r="H8" t="str">
        <f t="shared" si="2"/>
        <v>230-Yes</v>
      </c>
      <c r="K8">
        <f t="shared" si="3"/>
        <v>1</v>
      </c>
      <c r="L8">
        <f t="shared" si="4"/>
        <v>1</v>
      </c>
    </row>
    <row r="9" spans="1:12" x14ac:dyDescent="0.3">
      <c r="A9" t="s">
        <v>12</v>
      </c>
      <c r="B9" t="s">
        <v>61</v>
      </c>
      <c r="C9" t="s">
        <v>15</v>
      </c>
      <c r="D9">
        <v>160</v>
      </c>
      <c r="E9" t="s">
        <v>67</v>
      </c>
      <c r="F9" t="str">
        <f t="shared" si="0"/>
        <v>160No</v>
      </c>
      <c r="G9" t="str">
        <f t="shared" si="1"/>
        <v>160 No</v>
      </c>
      <c r="H9" t="str">
        <f t="shared" si="2"/>
        <v>160-No</v>
      </c>
      <c r="K9">
        <f t="shared" si="3"/>
        <v>0</v>
      </c>
      <c r="L9">
        <f t="shared" si="4"/>
        <v>0</v>
      </c>
    </row>
    <row r="10" spans="1:12" x14ac:dyDescent="0.3">
      <c r="A10" t="s">
        <v>13</v>
      </c>
      <c r="B10" t="s">
        <v>62</v>
      </c>
      <c r="C10" t="s">
        <v>17</v>
      </c>
      <c r="D10">
        <v>200</v>
      </c>
      <c r="E10" t="s">
        <v>66</v>
      </c>
      <c r="F10" t="str">
        <f t="shared" si="0"/>
        <v>200Yes</v>
      </c>
      <c r="G10" t="str">
        <f t="shared" si="1"/>
        <v>200 Yes</v>
      </c>
      <c r="H10" t="str">
        <f t="shared" si="2"/>
        <v>200-Yes</v>
      </c>
      <c r="K10">
        <f t="shared" si="3"/>
        <v>1</v>
      </c>
      <c r="L10">
        <f t="shared" si="4"/>
        <v>1</v>
      </c>
    </row>
    <row r="11" spans="1:12" x14ac:dyDescent="0.3">
      <c r="A11" t="s">
        <v>14</v>
      </c>
      <c r="B11" t="s">
        <v>63</v>
      </c>
      <c r="C11" t="s">
        <v>16</v>
      </c>
      <c r="D11">
        <v>190</v>
      </c>
      <c r="E11" t="s">
        <v>67</v>
      </c>
      <c r="F11" t="str">
        <f t="shared" si="0"/>
        <v>190No</v>
      </c>
      <c r="G11" t="str">
        <f t="shared" si="1"/>
        <v>190 No</v>
      </c>
      <c r="H11" t="str">
        <f t="shared" si="2"/>
        <v>190-No</v>
      </c>
      <c r="K11">
        <f t="shared" si="3"/>
        <v>0</v>
      </c>
      <c r="L11">
        <f t="shared" si="4"/>
        <v>0</v>
      </c>
    </row>
    <row r="15" spans="1:12" x14ac:dyDescent="0.3">
      <c r="A15" t="s">
        <v>68</v>
      </c>
    </row>
    <row r="16" spans="1:12" x14ac:dyDescent="0.3">
      <c r="A16" t="s">
        <v>69</v>
      </c>
    </row>
    <row r="17" spans="1:1" x14ac:dyDescent="0.3">
      <c r="A17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94BD-3158-46BE-9163-744375E8A782}">
  <dimension ref="A1:J11"/>
  <sheetViews>
    <sheetView workbookViewId="0">
      <selection activeCell="G2" sqref="G2"/>
    </sheetView>
  </sheetViews>
  <sheetFormatPr defaultRowHeight="14.4" x14ac:dyDescent="0.3"/>
  <cols>
    <col min="5" max="5" width="14.5546875" customWidth="1"/>
    <col min="6" max="6" width="27.109375" customWidth="1"/>
  </cols>
  <sheetData>
    <row r="1" spans="1:10" x14ac:dyDescent="0.3">
      <c r="A1" s="1" t="s">
        <v>29</v>
      </c>
      <c r="B1" s="1" t="s">
        <v>58</v>
      </c>
      <c r="C1" s="1" t="s">
        <v>2</v>
      </c>
      <c r="D1" s="1" t="s">
        <v>64</v>
      </c>
      <c r="E1" s="1" t="s">
        <v>65</v>
      </c>
      <c r="F1" s="1" t="s">
        <v>78</v>
      </c>
      <c r="J1">
        <f>COUNTIF(D2:D11,"&gt;=180")</f>
        <v>7</v>
      </c>
    </row>
    <row r="2" spans="1:10" x14ac:dyDescent="0.3">
      <c r="A2" t="s">
        <v>5</v>
      </c>
      <c r="B2" t="s">
        <v>37</v>
      </c>
      <c r="C2" t="s">
        <v>15</v>
      </c>
      <c r="D2">
        <v>150</v>
      </c>
      <c r="E2" t="s">
        <v>66</v>
      </c>
      <c r="F2">
        <f>IF(C2="Finance",IF(D2&gt;=200,1,0),4)</f>
        <v>4</v>
      </c>
      <c r="J2">
        <f>COUNTIF(D2:D11,"&lt;=180")</f>
        <v>4</v>
      </c>
    </row>
    <row r="3" spans="1:10" x14ac:dyDescent="0.3">
      <c r="A3" t="s">
        <v>6</v>
      </c>
      <c r="B3" t="s">
        <v>38</v>
      </c>
      <c r="C3" t="s">
        <v>16</v>
      </c>
      <c r="D3">
        <v>200</v>
      </c>
      <c r="E3" t="s">
        <v>67</v>
      </c>
      <c r="F3">
        <f t="shared" ref="F3:F11" si="0">IF(C3="Finance",IF(D3&gt;=200,1,0),4)</f>
        <v>4</v>
      </c>
    </row>
    <row r="4" spans="1:10" x14ac:dyDescent="0.3">
      <c r="A4" t="s">
        <v>7</v>
      </c>
      <c r="B4" t="s">
        <v>39</v>
      </c>
      <c r="C4" t="s">
        <v>17</v>
      </c>
      <c r="D4">
        <v>180</v>
      </c>
      <c r="E4" t="s">
        <v>66</v>
      </c>
      <c r="F4">
        <f t="shared" si="0"/>
        <v>0</v>
      </c>
    </row>
    <row r="5" spans="1:10" x14ac:dyDescent="0.3">
      <c r="A5" t="s">
        <v>8</v>
      </c>
      <c r="B5" t="s">
        <v>40</v>
      </c>
      <c r="C5" t="s">
        <v>16</v>
      </c>
      <c r="D5">
        <v>220</v>
      </c>
      <c r="E5" t="s">
        <v>66</v>
      </c>
      <c r="F5">
        <f t="shared" si="0"/>
        <v>4</v>
      </c>
    </row>
    <row r="6" spans="1:10" x14ac:dyDescent="0.3">
      <c r="A6" t="s">
        <v>9</v>
      </c>
      <c r="B6" t="s">
        <v>41</v>
      </c>
      <c r="C6" t="s">
        <v>15</v>
      </c>
      <c r="D6">
        <v>170</v>
      </c>
      <c r="E6" t="s">
        <v>67</v>
      </c>
      <c r="F6">
        <f t="shared" si="0"/>
        <v>4</v>
      </c>
    </row>
    <row r="7" spans="1:10" x14ac:dyDescent="0.3">
      <c r="A7" t="s">
        <v>10</v>
      </c>
      <c r="B7" t="s">
        <v>59</v>
      </c>
      <c r="C7" t="s">
        <v>17</v>
      </c>
      <c r="D7">
        <v>210</v>
      </c>
      <c r="E7" t="s">
        <v>66</v>
      </c>
      <c r="F7">
        <f t="shared" si="0"/>
        <v>1</v>
      </c>
    </row>
    <row r="8" spans="1:10" x14ac:dyDescent="0.3">
      <c r="A8" t="s">
        <v>11</v>
      </c>
      <c r="B8" t="s">
        <v>60</v>
      </c>
      <c r="C8" t="s">
        <v>16</v>
      </c>
      <c r="D8">
        <v>230</v>
      </c>
      <c r="E8" t="s">
        <v>66</v>
      </c>
      <c r="F8">
        <f t="shared" si="0"/>
        <v>4</v>
      </c>
    </row>
    <row r="9" spans="1:10" x14ac:dyDescent="0.3">
      <c r="A9" t="s">
        <v>12</v>
      </c>
      <c r="B9" t="s">
        <v>61</v>
      </c>
      <c r="C9" t="s">
        <v>15</v>
      </c>
      <c r="D9">
        <v>160</v>
      </c>
      <c r="E9" t="s">
        <v>67</v>
      </c>
      <c r="F9">
        <f t="shared" si="0"/>
        <v>4</v>
      </c>
    </row>
    <row r="10" spans="1:10" x14ac:dyDescent="0.3">
      <c r="A10" t="s">
        <v>13</v>
      </c>
      <c r="B10" t="s">
        <v>62</v>
      </c>
      <c r="C10" t="s">
        <v>17</v>
      </c>
      <c r="D10">
        <v>200</v>
      </c>
      <c r="E10" t="s">
        <v>66</v>
      </c>
      <c r="F10">
        <f t="shared" si="0"/>
        <v>1</v>
      </c>
    </row>
    <row r="11" spans="1:10" x14ac:dyDescent="0.3">
      <c r="A11" t="s">
        <v>14</v>
      </c>
      <c r="B11" t="s">
        <v>63</v>
      </c>
      <c r="C11" t="s">
        <v>16</v>
      </c>
      <c r="D11">
        <v>190</v>
      </c>
      <c r="E11" t="s">
        <v>67</v>
      </c>
      <c r="F11">
        <f t="shared" si="0"/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A4DF-DA67-44EF-9F42-EBA4E9DF74CB}">
  <dimension ref="A1:I15"/>
  <sheetViews>
    <sheetView workbookViewId="0">
      <selection activeCell="H16" sqref="H16"/>
    </sheetView>
  </sheetViews>
  <sheetFormatPr defaultRowHeight="14.4" x14ac:dyDescent="0.3"/>
  <cols>
    <col min="1" max="1" width="20.6640625" customWidth="1"/>
    <col min="2" max="2" width="12.109375" customWidth="1"/>
    <col min="3" max="3" width="10.88671875" customWidth="1"/>
    <col min="4" max="4" width="11.6640625" customWidth="1"/>
    <col min="5" max="5" width="17.6640625" customWidth="1"/>
    <col min="8" max="8" width="23.5546875" customWidth="1"/>
    <col min="9" max="9" width="33" customWidth="1"/>
  </cols>
  <sheetData>
    <row r="1" spans="1:9" ht="28.8" x14ac:dyDescent="0.3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H1" s="6" t="s">
        <v>112</v>
      </c>
      <c r="I1" s="6" t="s">
        <v>113</v>
      </c>
    </row>
    <row r="2" spans="1:9" x14ac:dyDescent="0.3">
      <c r="A2" s="3">
        <v>45536</v>
      </c>
      <c r="B2" s="4" t="s">
        <v>84</v>
      </c>
      <c r="C2" s="4" t="s">
        <v>5</v>
      </c>
      <c r="D2" s="4">
        <v>10</v>
      </c>
      <c r="E2" s="5">
        <v>200</v>
      </c>
      <c r="H2">
        <f>SUMIF(B2:B11,"widget A",E2:E11)</f>
        <v>740</v>
      </c>
      <c r="I2">
        <f>AVERAGEIF(B2:B11,"widget B",E2:E11)</f>
        <v>230</v>
      </c>
    </row>
    <row r="3" spans="1:9" x14ac:dyDescent="0.3">
      <c r="A3" s="3">
        <v>45536</v>
      </c>
      <c r="B3" s="4" t="s">
        <v>85</v>
      </c>
      <c r="C3" s="4" t="s">
        <v>6</v>
      </c>
      <c r="D3" s="4">
        <v>5</v>
      </c>
      <c r="E3" s="5">
        <v>150</v>
      </c>
    </row>
    <row r="4" spans="1:9" x14ac:dyDescent="0.3">
      <c r="A4" s="3">
        <v>45537</v>
      </c>
      <c r="B4" s="4" t="s">
        <v>84</v>
      </c>
      <c r="C4" s="4" t="s">
        <v>86</v>
      </c>
      <c r="D4" s="4">
        <v>7</v>
      </c>
      <c r="E4" s="5">
        <v>140</v>
      </c>
    </row>
    <row r="5" spans="1:9" x14ac:dyDescent="0.3">
      <c r="A5" s="3">
        <v>45537</v>
      </c>
      <c r="B5" s="4" t="s">
        <v>87</v>
      </c>
      <c r="C5" s="4" t="s">
        <v>5</v>
      </c>
      <c r="D5" s="4">
        <v>15</v>
      </c>
      <c r="E5" s="5">
        <v>300</v>
      </c>
      <c r="H5" t="s">
        <v>114</v>
      </c>
    </row>
    <row r="6" spans="1:9" x14ac:dyDescent="0.3">
      <c r="A6" s="3">
        <v>45538</v>
      </c>
      <c r="B6" s="4" t="s">
        <v>85</v>
      </c>
      <c r="C6" s="4" t="s">
        <v>86</v>
      </c>
      <c r="D6" s="4">
        <v>8</v>
      </c>
      <c r="E6" s="5">
        <v>240</v>
      </c>
      <c r="H6">
        <f>COUNTIF(E2:E11,"&gt;=150")</f>
        <v>7</v>
      </c>
    </row>
    <row r="7" spans="1:9" x14ac:dyDescent="0.3">
      <c r="A7" s="3">
        <v>45538</v>
      </c>
      <c r="B7" s="4" t="s">
        <v>84</v>
      </c>
      <c r="C7" s="4" t="s">
        <v>6</v>
      </c>
      <c r="D7" s="4">
        <v>12</v>
      </c>
      <c r="E7" s="5">
        <v>240</v>
      </c>
      <c r="H7">
        <f>COUNTIF(E2:E11,"&lt;=150")</f>
        <v>4</v>
      </c>
    </row>
    <row r="8" spans="1:9" x14ac:dyDescent="0.3">
      <c r="A8" s="3">
        <v>45539</v>
      </c>
      <c r="B8" s="4" t="s">
        <v>87</v>
      </c>
      <c r="C8" s="4" t="s">
        <v>5</v>
      </c>
      <c r="D8" s="4">
        <v>6</v>
      </c>
      <c r="E8" s="5">
        <v>120</v>
      </c>
    </row>
    <row r="9" spans="1:9" x14ac:dyDescent="0.3">
      <c r="A9" s="3">
        <v>45539</v>
      </c>
      <c r="B9" s="4" t="s">
        <v>85</v>
      </c>
      <c r="C9" s="4" t="s">
        <v>6</v>
      </c>
      <c r="D9" s="4">
        <v>10</v>
      </c>
      <c r="E9" s="5">
        <v>300</v>
      </c>
    </row>
    <row r="10" spans="1:9" x14ac:dyDescent="0.3">
      <c r="A10" s="3">
        <v>45540</v>
      </c>
      <c r="B10" s="4" t="s">
        <v>84</v>
      </c>
      <c r="C10" s="4" t="s">
        <v>86</v>
      </c>
      <c r="D10" s="4">
        <v>8</v>
      </c>
      <c r="E10" s="5">
        <v>160</v>
      </c>
      <c r="H10" t="s">
        <v>115</v>
      </c>
    </row>
    <row r="11" spans="1:9" x14ac:dyDescent="0.3">
      <c r="A11" s="3">
        <v>45540</v>
      </c>
      <c r="B11" s="4" t="s">
        <v>87</v>
      </c>
      <c r="C11" s="4" t="s">
        <v>6</v>
      </c>
      <c r="D11" s="4">
        <v>5</v>
      </c>
      <c r="E11" s="5">
        <v>100</v>
      </c>
      <c r="H11">
        <f>_xlfn.MINIFS(E2:E11,B2:B11,"widget C")</f>
        <v>100</v>
      </c>
    </row>
    <row r="14" spans="1:9" x14ac:dyDescent="0.3">
      <c r="H14" t="s">
        <v>116</v>
      </c>
    </row>
    <row r="15" spans="1:9" x14ac:dyDescent="0.3">
      <c r="H15">
        <f>_xlfn.MAXIFS(E2:E11,B2:B11,"widget B")</f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4741-6DB7-4F78-ABC0-EFE66948F10F}">
  <dimension ref="A1:I21"/>
  <sheetViews>
    <sheetView workbookViewId="0">
      <selection activeCell="I15" sqref="I15"/>
    </sheetView>
  </sheetViews>
  <sheetFormatPr defaultRowHeight="14.4" x14ac:dyDescent="0.3"/>
  <cols>
    <col min="1" max="1" width="16.5546875" customWidth="1"/>
    <col min="9" max="9" width="17.21875" customWidth="1"/>
  </cols>
  <sheetData>
    <row r="1" spans="1:9" ht="28.8" x14ac:dyDescent="0.3">
      <c r="A1" s="6" t="s">
        <v>79</v>
      </c>
      <c r="B1" s="6" t="s">
        <v>80</v>
      </c>
      <c r="C1" s="6" t="s">
        <v>81</v>
      </c>
      <c r="D1" s="6" t="s">
        <v>82</v>
      </c>
      <c r="E1" s="6" t="s">
        <v>83</v>
      </c>
    </row>
    <row r="2" spans="1:9" x14ac:dyDescent="0.3">
      <c r="A2" s="11">
        <v>45536</v>
      </c>
      <c r="B2" s="10" t="s">
        <v>84</v>
      </c>
      <c r="C2" s="10" t="s">
        <v>5</v>
      </c>
      <c r="D2" s="10">
        <v>10</v>
      </c>
      <c r="E2" s="12">
        <v>200</v>
      </c>
      <c r="H2" t="s">
        <v>118</v>
      </c>
      <c r="I2">
        <f>SUMIFS(E2:E21,B2:B21,"widget A",D2:D21,10)</f>
        <v>450</v>
      </c>
    </row>
    <row r="3" spans="1:9" x14ac:dyDescent="0.3">
      <c r="A3" s="7">
        <v>45536</v>
      </c>
      <c r="B3" s="8" t="s">
        <v>85</v>
      </c>
      <c r="C3" s="8" t="s">
        <v>6</v>
      </c>
      <c r="D3" s="8">
        <v>5</v>
      </c>
      <c r="E3" s="9">
        <v>150</v>
      </c>
    </row>
    <row r="4" spans="1:9" x14ac:dyDescent="0.3">
      <c r="A4" s="7">
        <v>45537</v>
      </c>
      <c r="B4" s="8" t="s">
        <v>84</v>
      </c>
      <c r="C4" s="8" t="s">
        <v>86</v>
      </c>
      <c r="D4" s="8">
        <v>7</v>
      </c>
      <c r="E4" s="9">
        <v>140</v>
      </c>
    </row>
    <row r="5" spans="1:9" x14ac:dyDescent="0.3">
      <c r="A5" s="7">
        <v>45537</v>
      </c>
      <c r="B5" s="8" t="s">
        <v>87</v>
      </c>
      <c r="C5" s="8" t="s">
        <v>5</v>
      </c>
      <c r="D5" s="8">
        <v>15</v>
      </c>
      <c r="E5" s="9">
        <v>300</v>
      </c>
      <c r="H5" t="s">
        <v>119</v>
      </c>
      <c r="I5">
        <f>AVERAGEIFS(E2:E21,B2:B21,"widget A",D2:D21,10)</f>
        <v>225</v>
      </c>
    </row>
    <row r="6" spans="1:9" x14ac:dyDescent="0.3">
      <c r="A6" s="7">
        <v>45538</v>
      </c>
      <c r="B6" s="8" t="s">
        <v>85</v>
      </c>
      <c r="C6" s="8" t="s">
        <v>86</v>
      </c>
      <c r="D6" s="8">
        <v>8</v>
      </c>
      <c r="E6" s="9">
        <v>240</v>
      </c>
    </row>
    <row r="7" spans="1:9" x14ac:dyDescent="0.3">
      <c r="A7" s="7">
        <v>45538</v>
      </c>
      <c r="B7" s="8" t="s">
        <v>84</v>
      </c>
      <c r="C7" s="8" t="s">
        <v>6</v>
      </c>
      <c r="D7" s="8">
        <v>12</v>
      </c>
      <c r="E7" s="9">
        <v>240</v>
      </c>
    </row>
    <row r="8" spans="1:9" x14ac:dyDescent="0.3">
      <c r="A8" s="7">
        <v>45539</v>
      </c>
      <c r="B8" s="8" t="s">
        <v>87</v>
      </c>
      <c r="C8" s="8" t="s">
        <v>5</v>
      </c>
      <c r="D8" s="8">
        <v>6</v>
      </c>
      <c r="E8" s="9">
        <v>120</v>
      </c>
      <c r="H8" t="s">
        <v>117</v>
      </c>
      <c r="I8">
        <f>COUNTIFS(B2:B21,"Widget A",D2:D21,10)</f>
        <v>2</v>
      </c>
    </row>
    <row r="9" spans="1:9" x14ac:dyDescent="0.3">
      <c r="A9" s="7">
        <v>45539</v>
      </c>
      <c r="B9" s="8" t="s">
        <v>85</v>
      </c>
      <c r="C9" s="8" t="s">
        <v>6</v>
      </c>
      <c r="D9" s="8">
        <v>10</v>
      </c>
      <c r="E9" s="9">
        <v>300</v>
      </c>
    </row>
    <row r="10" spans="1:9" x14ac:dyDescent="0.3">
      <c r="A10" s="7">
        <v>45540</v>
      </c>
      <c r="B10" s="8" t="s">
        <v>84</v>
      </c>
      <c r="C10" s="8" t="s">
        <v>86</v>
      </c>
      <c r="D10" s="8">
        <v>8</v>
      </c>
      <c r="E10" s="9">
        <v>160</v>
      </c>
    </row>
    <row r="11" spans="1:9" x14ac:dyDescent="0.3">
      <c r="A11" s="7">
        <v>45540</v>
      </c>
      <c r="B11" s="8" t="s">
        <v>87</v>
      </c>
      <c r="C11" s="8" t="s">
        <v>6</v>
      </c>
      <c r="D11" s="8">
        <v>5</v>
      </c>
      <c r="E11" s="9">
        <v>100</v>
      </c>
      <c r="H11" t="s">
        <v>120</v>
      </c>
      <c r="I11">
        <f>_xlfn.MINIFS(E2:E21,B2:B21,"widget A",D2:D21,10)</f>
        <v>200</v>
      </c>
    </row>
    <row r="12" spans="1:9" x14ac:dyDescent="0.3">
      <c r="A12" s="26">
        <v>45536</v>
      </c>
      <c r="B12" s="27" t="s">
        <v>84</v>
      </c>
      <c r="C12" s="27" t="s">
        <v>5</v>
      </c>
      <c r="D12" s="27">
        <v>10</v>
      </c>
      <c r="E12" s="28">
        <v>250</v>
      </c>
    </row>
    <row r="13" spans="1:9" x14ac:dyDescent="0.3">
      <c r="A13" s="7">
        <v>45536</v>
      </c>
      <c r="B13" s="8" t="s">
        <v>85</v>
      </c>
      <c r="C13" s="8" t="s">
        <v>6</v>
      </c>
      <c r="D13" s="8">
        <v>5</v>
      </c>
      <c r="E13" s="9">
        <v>150</v>
      </c>
    </row>
    <row r="14" spans="1:9" x14ac:dyDescent="0.3">
      <c r="A14" s="7">
        <v>45537</v>
      </c>
      <c r="B14" s="8" t="s">
        <v>84</v>
      </c>
      <c r="C14" s="8" t="s">
        <v>86</v>
      </c>
      <c r="D14" s="8">
        <v>7</v>
      </c>
      <c r="E14" s="9">
        <v>140</v>
      </c>
      <c r="H14" t="s">
        <v>121</v>
      </c>
      <c r="I14">
        <f>_xlfn.MAXIFS(E2:E21,B2:B21,"widget A",D2:D21,10)</f>
        <v>250</v>
      </c>
    </row>
    <row r="15" spans="1:9" x14ac:dyDescent="0.3">
      <c r="A15" s="7">
        <v>45537</v>
      </c>
      <c r="B15" s="8" t="s">
        <v>87</v>
      </c>
      <c r="C15" s="8" t="s">
        <v>5</v>
      </c>
      <c r="D15" s="8">
        <v>15</v>
      </c>
      <c r="E15" s="9">
        <v>300</v>
      </c>
    </row>
    <row r="16" spans="1:9" x14ac:dyDescent="0.3">
      <c r="A16" s="7">
        <v>45538</v>
      </c>
      <c r="B16" s="8" t="s">
        <v>85</v>
      </c>
      <c r="C16" s="8" t="s">
        <v>86</v>
      </c>
      <c r="D16" s="8">
        <v>8</v>
      </c>
      <c r="E16" s="9">
        <v>240</v>
      </c>
    </row>
    <row r="17" spans="1:5" x14ac:dyDescent="0.3">
      <c r="A17" s="7">
        <v>45538</v>
      </c>
      <c r="B17" s="8" t="s">
        <v>84</v>
      </c>
      <c r="C17" s="8" t="s">
        <v>6</v>
      </c>
      <c r="D17" s="8">
        <v>12</v>
      </c>
      <c r="E17" s="9">
        <v>240</v>
      </c>
    </row>
    <row r="18" spans="1:5" x14ac:dyDescent="0.3">
      <c r="A18" s="7">
        <v>45539</v>
      </c>
      <c r="B18" s="8" t="s">
        <v>87</v>
      </c>
      <c r="C18" s="8" t="s">
        <v>5</v>
      </c>
      <c r="D18" s="8">
        <v>6</v>
      </c>
      <c r="E18" s="9">
        <v>120</v>
      </c>
    </row>
    <row r="19" spans="1:5" x14ac:dyDescent="0.3">
      <c r="A19" s="7">
        <v>45539</v>
      </c>
      <c r="B19" s="8" t="s">
        <v>85</v>
      </c>
      <c r="C19" s="8" t="s">
        <v>6</v>
      </c>
      <c r="D19" s="8">
        <v>10</v>
      </c>
      <c r="E19" s="9">
        <v>300</v>
      </c>
    </row>
    <row r="20" spans="1:5" x14ac:dyDescent="0.3">
      <c r="A20" s="7">
        <v>45540</v>
      </c>
      <c r="B20" s="8" t="s">
        <v>84</v>
      </c>
      <c r="C20" s="8" t="s">
        <v>86</v>
      </c>
      <c r="D20" s="8">
        <v>8</v>
      </c>
      <c r="E20" s="9">
        <v>160</v>
      </c>
    </row>
    <row r="21" spans="1:5" x14ac:dyDescent="0.3">
      <c r="A21" s="7">
        <v>45540</v>
      </c>
      <c r="B21" s="8" t="s">
        <v>87</v>
      </c>
      <c r="C21" s="8" t="s">
        <v>6</v>
      </c>
      <c r="D21" s="8">
        <v>5</v>
      </c>
      <c r="E21" s="9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E2FE-F5F0-4BB5-902F-D863B2CDEA36}">
  <dimension ref="A1:E8"/>
  <sheetViews>
    <sheetView workbookViewId="0">
      <selection activeCell="C9" sqref="C9"/>
    </sheetView>
  </sheetViews>
  <sheetFormatPr defaultRowHeight="14.4" x14ac:dyDescent="0.3"/>
  <cols>
    <col min="1" max="1" width="58.44140625" customWidth="1"/>
    <col min="3" max="3" width="15.44140625" bestFit="1" customWidth="1"/>
    <col min="5" max="5" width="10.33203125" bestFit="1" customWidth="1"/>
  </cols>
  <sheetData>
    <row r="1" spans="1:5" x14ac:dyDescent="0.3">
      <c r="A1" s="13" t="s">
        <v>88</v>
      </c>
      <c r="C1" s="14">
        <f ca="1">TODAY()</f>
        <v>45751</v>
      </c>
    </row>
    <row r="2" spans="1:5" x14ac:dyDescent="0.3">
      <c r="A2" s="13" t="s">
        <v>89</v>
      </c>
      <c r="C2" s="14">
        <f>DATE(2025,4,4)</f>
        <v>45751</v>
      </c>
      <c r="E2" s="14">
        <f>DATE(2023,3,3)</f>
        <v>44988</v>
      </c>
    </row>
    <row r="3" spans="1:5" x14ac:dyDescent="0.3">
      <c r="A3" s="13" t="s">
        <v>90</v>
      </c>
      <c r="C3">
        <f>DAY(C2)</f>
        <v>4</v>
      </c>
    </row>
    <row r="4" spans="1:5" x14ac:dyDescent="0.3">
      <c r="A4" s="13" t="s">
        <v>91</v>
      </c>
      <c r="C4">
        <f>MONTH(C2)</f>
        <v>4</v>
      </c>
    </row>
    <row r="5" spans="1:5" x14ac:dyDescent="0.3">
      <c r="A5" s="13" t="s">
        <v>92</v>
      </c>
      <c r="C5">
        <f>YEAR(C2)</f>
        <v>2025</v>
      </c>
    </row>
    <row r="6" spans="1:5" x14ac:dyDescent="0.3">
      <c r="A6" s="13" t="s">
        <v>93</v>
      </c>
      <c r="C6">
        <f>WEEKDAY(C2)</f>
        <v>6</v>
      </c>
    </row>
    <row r="7" spans="1:5" x14ac:dyDescent="0.3">
      <c r="A7" s="13" t="s">
        <v>94</v>
      </c>
      <c r="C7">
        <f>_xlfn.DAYS(C2,E2)</f>
        <v>763</v>
      </c>
    </row>
    <row r="8" spans="1:5" x14ac:dyDescent="0.3">
      <c r="A8" s="13" t="s">
        <v>95</v>
      </c>
      <c r="C8" s="15">
        <f ca="1">NOW()</f>
        <v>45751.936514930552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590D-B48C-4EFB-946C-A3CBD43FE355}">
  <dimension ref="A1:F19"/>
  <sheetViews>
    <sheetView workbookViewId="0">
      <selection activeCell="D23" sqref="D23"/>
    </sheetView>
  </sheetViews>
  <sheetFormatPr defaultRowHeight="14.4" x14ac:dyDescent="0.3"/>
  <cols>
    <col min="1" max="1" width="20.6640625" customWidth="1"/>
    <col min="2" max="2" width="56.88671875" customWidth="1"/>
    <col min="5" max="5" width="44.6640625" customWidth="1"/>
    <col min="6" max="6" width="44.44140625" customWidth="1"/>
  </cols>
  <sheetData>
    <row r="1" spans="1:6" x14ac:dyDescent="0.3">
      <c r="A1" s="17" t="s">
        <v>96</v>
      </c>
      <c r="B1" s="16"/>
      <c r="C1" s="16"/>
      <c r="D1" s="16"/>
    </row>
    <row r="2" spans="1:6" x14ac:dyDescent="0.3">
      <c r="A2" s="18" t="s">
        <v>97</v>
      </c>
      <c r="B2" s="18" t="s">
        <v>1</v>
      </c>
      <c r="C2" s="18" t="s">
        <v>98</v>
      </c>
      <c r="D2" s="18" t="s">
        <v>99</v>
      </c>
      <c r="E2" s="29" t="s">
        <v>122</v>
      </c>
    </row>
    <row r="3" spans="1:6" x14ac:dyDescent="0.3">
      <c r="A3" s="19" t="s">
        <v>100</v>
      </c>
      <c r="B3" s="19" t="s">
        <v>5</v>
      </c>
      <c r="C3" s="19">
        <v>14</v>
      </c>
      <c r="D3" s="19">
        <v>8</v>
      </c>
      <c r="E3" t="str">
        <f>VLOOKUP(A3,$A$14:$C$19,2,0)</f>
        <v>Introduction to Data Science and Machine Learning</v>
      </c>
      <c r="F3" t="str">
        <f>VLOOKUP(A3,$A$14:$C$19,2,FALSE)</f>
        <v>Introduction to Data Science and Machine Learning</v>
      </c>
    </row>
    <row r="4" spans="1:6" x14ac:dyDescent="0.3">
      <c r="A4" s="19" t="s">
        <v>101</v>
      </c>
      <c r="B4" s="19" t="s">
        <v>6</v>
      </c>
      <c r="C4" s="19">
        <v>15</v>
      </c>
      <c r="D4" s="19">
        <v>9</v>
      </c>
      <c r="E4" s="20" t="str">
        <f t="shared" ref="E4:E7" si="0">VLOOKUP(A4,$A$14:$C$19,2,0)</f>
        <v>Full-Stack Web Development Bootcamp</v>
      </c>
      <c r="F4" s="20" t="str">
        <f t="shared" ref="F4:F7" si="1">VLOOKUP(A4,$A$14:$C$19,2,FALSE)</f>
        <v>Full-Stack Web Development Bootcamp</v>
      </c>
    </row>
    <row r="5" spans="1:6" x14ac:dyDescent="0.3">
      <c r="A5" s="19" t="s">
        <v>102</v>
      </c>
      <c r="B5" s="19" t="s">
        <v>7</v>
      </c>
      <c r="C5" s="19">
        <v>14</v>
      </c>
      <c r="D5" s="19">
        <v>8</v>
      </c>
      <c r="E5" s="20" t="str">
        <f t="shared" si="0"/>
        <v>Cybersecurity Essentials: Protecting Digital Assets</v>
      </c>
      <c r="F5" s="20" t="str">
        <f t="shared" si="1"/>
        <v>Cybersecurity Essentials: Protecting Digital Assets</v>
      </c>
    </row>
    <row r="6" spans="1:6" x14ac:dyDescent="0.3">
      <c r="A6" s="19" t="s">
        <v>103</v>
      </c>
      <c r="B6" s="19" t="s">
        <v>8</v>
      </c>
      <c r="C6" s="19">
        <v>16</v>
      </c>
      <c r="D6" s="19">
        <v>10</v>
      </c>
      <c r="E6" s="20" t="str">
        <f t="shared" si="0"/>
        <v>Advanced Excel and Data Analysis</v>
      </c>
      <c r="F6" s="20" t="str">
        <f t="shared" si="1"/>
        <v>Advanced Excel and Data Analysis</v>
      </c>
    </row>
    <row r="7" spans="1:6" x14ac:dyDescent="0.3">
      <c r="A7" s="19" t="s">
        <v>104</v>
      </c>
      <c r="B7" s="19" t="s">
        <v>9</v>
      </c>
      <c r="C7" s="19">
        <v>15</v>
      </c>
      <c r="D7" s="19">
        <v>9</v>
      </c>
      <c r="E7" s="20" t="str">
        <f t="shared" si="0"/>
        <v>Cloud Computing with AWS and Azure</v>
      </c>
      <c r="F7" s="20" t="str">
        <f t="shared" si="1"/>
        <v>Cloud Computing with AWS and Azure</v>
      </c>
    </row>
    <row r="13" spans="1:6" x14ac:dyDescent="0.3">
      <c r="A13" s="21" t="s">
        <v>105</v>
      </c>
      <c r="B13" s="20"/>
      <c r="C13" s="20"/>
    </row>
    <row r="14" spans="1:6" x14ac:dyDescent="0.3">
      <c r="A14" s="22" t="s">
        <v>97</v>
      </c>
      <c r="B14" s="24" t="s">
        <v>106</v>
      </c>
      <c r="C14" s="22" t="s">
        <v>97</v>
      </c>
    </row>
    <row r="15" spans="1:6" x14ac:dyDescent="0.3">
      <c r="A15" s="23" t="s">
        <v>100</v>
      </c>
      <c r="B15" s="25" t="s">
        <v>107</v>
      </c>
      <c r="C15" s="23" t="s">
        <v>100</v>
      </c>
    </row>
    <row r="16" spans="1:6" x14ac:dyDescent="0.3">
      <c r="A16" s="23" t="s">
        <v>101</v>
      </c>
      <c r="B16" s="25" t="s">
        <v>108</v>
      </c>
      <c r="C16" s="23" t="s">
        <v>101</v>
      </c>
    </row>
    <row r="17" spans="1:3" x14ac:dyDescent="0.3">
      <c r="A17" s="23" t="s">
        <v>102</v>
      </c>
      <c r="B17" s="25" t="s">
        <v>109</v>
      </c>
      <c r="C17" s="23" t="s">
        <v>102</v>
      </c>
    </row>
    <row r="18" spans="1:3" x14ac:dyDescent="0.3">
      <c r="A18" s="23" t="s">
        <v>103</v>
      </c>
      <c r="B18" s="25" t="s">
        <v>110</v>
      </c>
      <c r="C18" s="23" t="s">
        <v>103</v>
      </c>
    </row>
    <row r="19" spans="1:3" x14ac:dyDescent="0.3">
      <c r="A19" s="23" t="s">
        <v>104</v>
      </c>
      <c r="B19" s="25" t="s">
        <v>111</v>
      </c>
      <c r="C19" s="23" t="s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C27-F453-472F-8CAB-2907A22E5CC5}">
  <dimension ref="A1:G19"/>
  <sheetViews>
    <sheetView tabSelected="1" workbookViewId="0">
      <selection activeCell="D25" sqref="D25"/>
    </sheetView>
  </sheetViews>
  <sheetFormatPr defaultRowHeight="14.4" x14ac:dyDescent="0.3"/>
  <cols>
    <col min="1" max="1" width="15.5546875" customWidth="1"/>
    <col min="2" max="2" width="52.21875" customWidth="1"/>
    <col min="3" max="3" width="10.77734375" customWidth="1"/>
    <col min="4" max="4" width="9.44140625" customWidth="1"/>
    <col min="5" max="5" width="22.77734375" customWidth="1"/>
    <col min="6" max="6" width="19" customWidth="1"/>
    <col min="7" max="7" width="27.88671875" customWidth="1"/>
  </cols>
  <sheetData>
    <row r="1" spans="1:7" x14ac:dyDescent="0.3">
      <c r="A1" s="21" t="s">
        <v>96</v>
      </c>
      <c r="B1" s="20"/>
      <c r="C1" s="20"/>
      <c r="D1" s="20"/>
    </row>
    <row r="2" spans="1:7" x14ac:dyDescent="0.3">
      <c r="A2" s="22" t="s">
        <v>97</v>
      </c>
      <c r="B2" s="22" t="s">
        <v>1</v>
      </c>
      <c r="C2" s="22" t="s">
        <v>98</v>
      </c>
      <c r="D2" s="22" t="s">
        <v>99</v>
      </c>
      <c r="E2" s="29" t="s">
        <v>122</v>
      </c>
      <c r="F2" s="30" t="s">
        <v>122</v>
      </c>
      <c r="G2" s="30" t="s">
        <v>123</v>
      </c>
    </row>
    <row r="3" spans="1:7" x14ac:dyDescent="0.3">
      <c r="A3" s="23" t="s">
        <v>100</v>
      </c>
      <c r="B3" s="23" t="s">
        <v>5</v>
      </c>
      <c r="C3" s="23">
        <v>14</v>
      </c>
      <c r="D3" s="23">
        <v>8</v>
      </c>
      <c r="E3" t="e">
        <f>VLOOKUP(A2,$B$14:$C$19,2,0)</f>
        <v>#N/A</v>
      </c>
      <c r="F3" t="str">
        <f>VLOOKUP(A3,$C$14:$C$19,1,0)</f>
        <v>S001</v>
      </c>
    </row>
    <row r="4" spans="1:7" x14ac:dyDescent="0.3">
      <c r="A4" s="23" t="s">
        <v>101</v>
      </c>
      <c r="B4" s="23" t="s">
        <v>6</v>
      </c>
      <c r="C4" s="23">
        <v>15</v>
      </c>
      <c r="D4" s="23">
        <v>9</v>
      </c>
      <c r="E4" s="20" t="e">
        <f t="shared" ref="E4:E7" si="0">VLOOKUP(A3,$B$14:$C$19,2,0)</f>
        <v>#N/A</v>
      </c>
      <c r="F4" s="20" t="str">
        <f t="shared" ref="F4:F7" si="1">VLOOKUP(A4,$C$14:$C$19,1,0)</f>
        <v>S002</v>
      </c>
    </row>
    <row r="5" spans="1:7" x14ac:dyDescent="0.3">
      <c r="A5" s="23" t="s">
        <v>102</v>
      </c>
      <c r="B5" s="23" t="s">
        <v>7</v>
      </c>
      <c r="C5" s="23">
        <v>14</v>
      </c>
      <c r="D5" s="23">
        <v>8</v>
      </c>
      <c r="E5" s="20" t="e">
        <f t="shared" si="0"/>
        <v>#N/A</v>
      </c>
      <c r="F5" s="20" t="str">
        <f t="shared" si="1"/>
        <v>S003</v>
      </c>
    </row>
    <row r="6" spans="1:7" x14ac:dyDescent="0.3">
      <c r="A6" s="23" t="s">
        <v>103</v>
      </c>
      <c r="B6" s="23" t="s">
        <v>8</v>
      </c>
      <c r="C6" s="23">
        <v>16</v>
      </c>
      <c r="D6" s="23">
        <v>10</v>
      </c>
      <c r="E6" s="20" t="e">
        <f t="shared" si="0"/>
        <v>#N/A</v>
      </c>
      <c r="F6" s="20" t="str">
        <f t="shared" si="1"/>
        <v>S004</v>
      </c>
    </row>
    <row r="7" spans="1:7" x14ac:dyDescent="0.3">
      <c r="A7" s="23" t="s">
        <v>104</v>
      </c>
      <c r="B7" s="23" t="s">
        <v>9</v>
      </c>
      <c r="C7" s="23">
        <v>15</v>
      </c>
      <c r="D7" s="23">
        <v>9</v>
      </c>
      <c r="E7" s="20" t="e">
        <f t="shared" si="0"/>
        <v>#N/A</v>
      </c>
      <c r="F7" s="20" t="str">
        <f t="shared" si="1"/>
        <v>S005</v>
      </c>
    </row>
    <row r="8" spans="1:7" x14ac:dyDescent="0.3">
      <c r="A8" s="20"/>
      <c r="B8" s="20"/>
      <c r="C8" s="20"/>
      <c r="D8" s="20"/>
    </row>
    <row r="9" spans="1:7" x14ac:dyDescent="0.3">
      <c r="A9" s="20"/>
      <c r="B9" s="20"/>
      <c r="C9" s="20"/>
      <c r="D9" s="20"/>
    </row>
    <row r="10" spans="1:7" x14ac:dyDescent="0.3">
      <c r="A10" s="20"/>
      <c r="B10" s="20"/>
      <c r="C10" s="20"/>
      <c r="D10" s="20"/>
    </row>
    <row r="11" spans="1:7" x14ac:dyDescent="0.3">
      <c r="A11" s="20"/>
      <c r="B11" s="20"/>
      <c r="C11" s="20"/>
      <c r="D11" s="20"/>
    </row>
    <row r="12" spans="1:7" x14ac:dyDescent="0.3">
      <c r="A12" s="20"/>
      <c r="B12" s="20"/>
      <c r="C12" s="20"/>
      <c r="D12" s="20"/>
    </row>
    <row r="13" spans="1:7" x14ac:dyDescent="0.3">
      <c r="A13" s="21" t="s">
        <v>105</v>
      </c>
      <c r="B13" s="20"/>
      <c r="C13" s="20"/>
      <c r="D13" s="20"/>
    </row>
    <row r="14" spans="1:7" x14ac:dyDescent="0.3">
      <c r="A14" s="22" t="s">
        <v>97</v>
      </c>
      <c r="B14" s="24" t="s">
        <v>106</v>
      </c>
      <c r="C14" s="22" t="s">
        <v>97</v>
      </c>
      <c r="D14" s="20"/>
    </row>
    <row r="15" spans="1:7" x14ac:dyDescent="0.3">
      <c r="A15" s="23" t="s">
        <v>100</v>
      </c>
      <c r="B15" s="25" t="s">
        <v>107</v>
      </c>
      <c r="C15" s="23" t="s">
        <v>100</v>
      </c>
      <c r="D15" s="20"/>
    </row>
    <row r="16" spans="1:7" x14ac:dyDescent="0.3">
      <c r="A16" s="23" t="s">
        <v>101</v>
      </c>
      <c r="B16" s="25" t="s">
        <v>108</v>
      </c>
      <c r="C16" s="23" t="s">
        <v>101</v>
      </c>
      <c r="D16" s="20"/>
    </row>
    <row r="17" spans="1:4" x14ac:dyDescent="0.3">
      <c r="A17" s="23" t="s">
        <v>102</v>
      </c>
      <c r="B17" s="25" t="s">
        <v>109</v>
      </c>
      <c r="C17" s="23" t="s">
        <v>102</v>
      </c>
      <c r="D17" s="20"/>
    </row>
    <row r="18" spans="1:4" x14ac:dyDescent="0.3">
      <c r="A18" s="23" t="s">
        <v>103</v>
      </c>
      <c r="B18" s="25" t="s">
        <v>110</v>
      </c>
      <c r="C18" s="23" t="s">
        <v>103</v>
      </c>
      <c r="D18" s="20"/>
    </row>
    <row r="19" spans="1:4" x14ac:dyDescent="0.3">
      <c r="A19" s="23" t="s">
        <v>104</v>
      </c>
      <c r="B19" s="25" t="s">
        <v>111</v>
      </c>
      <c r="C19" s="23" t="s">
        <v>104</v>
      </c>
      <c r="D1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Auto</vt:lpstr>
      <vt:lpstr>Fun1</vt:lpstr>
      <vt:lpstr>Fun 2</vt:lpstr>
      <vt:lpstr>Fun 3</vt:lpstr>
      <vt:lpstr>Fun 4</vt:lpstr>
      <vt:lpstr>Fun 5</vt:lpstr>
      <vt:lpstr>Fun 6</vt:lpstr>
      <vt:lpstr>Fun 7</vt:lpstr>
      <vt:lpstr>Fun 8</vt:lpstr>
      <vt:lpstr>Fun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!!</dc:creator>
  <cp:lastModifiedBy>Ankit !!</cp:lastModifiedBy>
  <dcterms:created xsi:type="dcterms:W3CDTF">2025-04-03T15:24:41Z</dcterms:created>
  <dcterms:modified xsi:type="dcterms:W3CDTF">2025-04-04T17:00:56Z</dcterms:modified>
</cp:coreProperties>
</file>